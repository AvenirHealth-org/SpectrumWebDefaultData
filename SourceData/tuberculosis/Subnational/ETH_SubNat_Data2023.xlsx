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pectrumWeb\Subnational\NaomiETH\"/>
    </mc:Choice>
  </mc:AlternateContent>
  <xr:revisionPtr revIDLastSave="0" documentId="13_ncr:1_{63EE957B-C464-406D-897C-3BEEB52999F6}" xr6:coauthVersionLast="47" xr6:coauthVersionMax="47" xr10:uidLastSave="{00000000-0000-0000-0000-000000000000}"/>
  <bookViews>
    <workbookView xWindow="-108" yWindow="-108" windowWidth="23256" windowHeight="12576" xr2:uid="{2CC638FD-2A11-4C1B-BEB7-7907F9A93FFD}"/>
  </bookViews>
  <sheets>
    <sheet name="TB_IHT_SubNat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C15" i="1"/>
  <c r="D15" i="1" s="1"/>
  <c r="E15" i="1" s="1"/>
  <c r="B15" i="1"/>
  <c r="G14" i="1"/>
  <c r="C14" i="1"/>
  <c r="B14" i="1"/>
  <c r="G13" i="1"/>
  <c r="C13" i="1"/>
  <c r="D13" i="1" s="1"/>
  <c r="E13" i="1" s="1"/>
  <c r="B13" i="1"/>
  <c r="G12" i="1"/>
  <c r="H12" i="1" s="1"/>
  <c r="I12" i="1" s="1"/>
  <c r="C12" i="1"/>
  <c r="B12" i="1"/>
  <c r="G11" i="1"/>
  <c r="C11" i="1"/>
  <c r="B11" i="1"/>
  <c r="G10" i="1"/>
  <c r="C10" i="1"/>
  <c r="B10" i="1"/>
  <c r="G9" i="1"/>
  <c r="H9" i="1" s="1"/>
  <c r="I9" i="1" s="1"/>
  <c r="C9" i="1"/>
  <c r="D9" i="1" s="1"/>
  <c r="E9" i="1" s="1"/>
  <c r="B9" i="1"/>
  <c r="G8" i="1"/>
  <c r="H8" i="1" s="1"/>
  <c r="I8" i="1" s="1"/>
  <c r="C8" i="1"/>
  <c r="B8" i="1"/>
  <c r="G7" i="1"/>
  <c r="H7" i="1" s="1"/>
  <c r="I7" i="1" s="1"/>
  <c r="C7" i="1"/>
  <c r="D7" i="1" s="1"/>
  <c r="E7" i="1" s="1"/>
  <c r="B7" i="1"/>
  <c r="G6" i="1"/>
  <c r="C6" i="1"/>
  <c r="B6" i="1"/>
  <c r="G5" i="1"/>
  <c r="C5" i="1"/>
  <c r="D5" i="1" s="1"/>
  <c r="E5" i="1" s="1"/>
  <c r="B5" i="1"/>
  <c r="G4" i="1"/>
  <c r="H4" i="1" s="1"/>
  <c r="I4" i="1" s="1"/>
  <c r="C4" i="1"/>
  <c r="B4" i="1"/>
  <c r="G3" i="1"/>
  <c r="C3" i="1"/>
  <c r="D3" i="1" s="1"/>
  <c r="E3" i="1" s="1"/>
  <c r="B3" i="1"/>
  <c r="G2" i="1"/>
  <c r="G16" i="1" s="1"/>
  <c r="C2" i="1"/>
  <c r="C16" i="1" s="1"/>
  <c r="B2" i="1"/>
  <c r="D6" i="1" l="1"/>
  <c r="E6" i="1" s="1"/>
  <c r="D11" i="1"/>
  <c r="E11" i="1" s="1"/>
  <c r="D4" i="1"/>
  <c r="E4" i="1" s="1"/>
  <c r="D16" i="1"/>
  <c r="D14" i="1"/>
  <c r="E14" i="1" s="1"/>
  <c r="D2" i="1"/>
  <c r="E2" i="1" s="1"/>
  <c r="D10" i="1"/>
  <c r="E10" i="1" s="1"/>
  <c r="D12" i="1"/>
  <c r="E12" i="1" s="1"/>
  <c r="D8" i="1"/>
  <c r="E8" i="1" s="1"/>
  <c r="H16" i="1"/>
  <c r="H14" i="1"/>
  <c r="I14" i="1" s="1"/>
  <c r="H2" i="1"/>
  <c r="I2" i="1" s="1"/>
  <c r="H5" i="1"/>
  <c r="I5" i="1" s="1"/>
  <c r="H15" i="1"/>
  <c r="I15" i="1" s="1"/>
  <c r="H3" i="1"/>
  <c r="I3" i="1" s="1"/>
  <c r="H13" i="1"/>
  <c r="I13" i="1" s="1"/>
  <c r="H11" i="1"/>
  <c r="I11" i="1" s="1"/>
  <c r="H6" i="1"/>
  <c r="I6" i="1" s="1"/>
  <c r="H10" i="1"/>
  <c r="I10" i="1" s="1"/>
  <c r="I16" i="1" l="1"/>
  <c r="E16" i="1"/>
</calcChain>
</file>

<file path=xl/sharedStrings.xml><?xml version="1.0" encoding="utf-8"?>
<sst xmlns="http://schemas.openxmlformats.org/spreadsheetml/2006/main" count="25" uniqueCount="24">
  <si>
    <t>Notifications number 2020</t>
  </si>
  <si>
    <t>Notifications proportion</t>
  </si>
  <si>
    <t>Notifications 2023</t>
  </si>
  <si>
    <t>Incidence number 2023</t>
  </si>
  <si>
    <t>Incidence proportion</t>
  </si>
  <si>
    <t>Incidence 2023</t>
  </si>
  <si>
    <t>Addis Ababa</t>
  </si>
  <si>
    <t>Afar</t>
  </si>
  <si>
    <t>Amhara</t>
  </si>
  <si>
    <t>Benishangul-Gumuz</t>
  </si>
  <si>
    <t>Central Ethiopia</t>
  </si>
  <si>
    <t>Dire Dawa</t>
  </si>
  <si>
    <t>Gambella</t>
  </si>
  <si>
    <t>Harari</t>
  </si>
  <si>
    <t>Oromia</t>
  </si>
  <si>
    <t>Sidama</t>
  </si>
  <si>
    <t>Somali</t>
  </si>
  <si>
    <t>South Ethiopia</t>
  </si>
  <si>
    <t>South West Ethiopia</t>
  </si>
  <si>
    <t>Tigray</t>
  </si>
  <si>
    <t>Total</t>
  </si>
  <si>
    <t>WHO&gt;&gt;</t>
  </si>
  <si>
    <t>Area name</t>
  </si>
  <si>
    <t>Area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</si>
</sst>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4" fillId="0" borderId="3" xfId="2" applyFont="1" applyBorder="1"/>
    <xf numFmtId="3" fontId="0" fillId="0" borderId="0" xfId="0" applyNumberFormat="1"/>
    <xf numFmtId="164" fontId="0" fillId="0" borderId="0" xfId="1" applyNumberFormat="1" applyFont="1"/>
    <xf numFmtId="0" fontId="4" fillId="0" borderId="1" xfId="2" applyFont="1" applyBorder="1"/>
    <xf numFmtId="0" fontId="0" fillId="0" borderId="4" xfId="0" applyBorder="1"/>
    <xf numFmtId="3" fontId="2" fillId="0" borderId="5" xfId="0" applyNumberFormat="1" applyFont="1" applyBorder="1"/>
    <xf numFmtId="164" fontId="0" fillId="0" borderId="5" xfId="1" applyNumberFormat="1" applyFont="1" applyBorder="1"/>
    <xf numFmtId="0" fontId="2" fillId="0" borderId="2" xfId="0" applyFont="1" applyBorder="1"/>
    <xf numFmtId="0" fontId="0" fillId="0" borderId="5" xfId="0" applyBorder="1"/>
    <xf numFmtId="0" fontId="4" fillId="0" borderId="0" xfId="2" applyFont="1"/>
  </cellXfs>
  <cellStyles count="3">
    <cellStyle name="Normal" xfId="0" builtinId="0"/>
    <cellStyle name="Normal 2" xfId="2" xr:uid="{96253FF8-405E-4823-91AC-45299A1D3F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SpectrumWeb\Subnational\NaomiETH\ETH_SubNat_DataV1.xlsx" TargetMode="External"/><Relationship Id="rId1" Type="http://schemas.openxmlformats.org/officeDocument/2006/relationships/externalLinkPath" Target="ETH_SubNat_Data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umber"/>
      <sheetName val="Distribution"/>
      <sheetName val="NaomiETH"/>
      <sheetName val="CountrySubNatData"/>
      <sheetName val="TB_IHT_SubNatData"/>
      <sheetName val="SpectrumConst"/>
      <sheetName val="DataFilter"/>
      <sheetName val="Pop5YrsForIHT"/>
      <sheetName val="AgeDistributions"/>
      <sheetName val="AgeDistributionHIV"/>
      <sheetName val="AgeDistributionsART"/>
    </sheetNames>
    <sheetDataSet>
      <sheetData sheetId="0"/>
      <sheetData sheetId="1"/>
      <sheetData sheetId="2"/>
      <sheetData sheetId="3">
        <row r="4">
          <cell r="A4" t="str">
            <v>ETH_01_10</v>
          </cell>
          <cell r="H4">
            <v>5750.6067035772194</v>
          </cell>
          <cell r="J4">
            <v>7356</v>
          </cell>
        </row>
        <row r="5">
          <cell r="A5" t="str">
            <v>ETH_01_11</v>
          </cell>
          <cell r="H5">
            <v>3031.5556800000004</v>
          </cell>
          <cell r="J5">
            <v>2695</v>
          </cell>
        </row>
        <row r="6">
          <cell r="A6" t="str">
            <v>ETH_01_12</v>
          </cell>
          <cell r="H6">
            <v>33907.659018006932</v>
          </cell>
          <cell r="J6">
            <v>19936</v>
          </cell>
        </row>
        <row r="7">
          <cell r="A7" t="str">
            <v>ETH_01_13</v>
          </cell>
          <cell r="H7">
            <v>1806.5543600000001</v>
          </cell>
          <cell r="J7">
            <v>795</v>
          </cell>
        </row>
        <row r="8">
          <cell r="A8" t="str">
            <v>ETH_01_24gf</v>
          </cell>
          <cell r="H8">
            <v>9017.9230971607285</v>
          </cell>
          <cell r="J8">
            <v>4934</v>
          </cell>
        </row>
        <row r="9">
          <cell r="A9" t="str">
            <v>ETH_01_14</v>
          </cell>
          <cell r="H9">
            <v>803.93732</v>
          </cell>
          <cell r="J9">
            <v>1225</v>
          </cell>
        </row>
        <row r="10">
          <cell r="A10" t="str">
            <v>ETH_01_15</v>
          </cell>
          <cell r="H10">
            <v>775.10222566100697</v>
          </cell>
          <cell r="J10">
            <v>1056</v>
          </cell>
        </row>
        <row r="11">
          <cell r="A11" t="str">
            <v>ETH_01_16</v>
          </cell>
          <cell r="H11">
            <v>412.958798621531</v>
          </cell>
          <cell r="J11">
            <v>479</v>
          </cell>
        </row>
        <row r="12">
          <cell r="A12" t="str">
            <v>ETH_01_17</v>
          </cell>
          <cell r="H12">
            <v>59691.003539999998</v>
          </cell>
          <cell r="J12">
            <v>41899</v>
          </cell>
        </row>
        <row r="13">
          <cell r="A13" t="str">
            <v>ETH_01_21xz</v>
          </cell>
          <cell r="H13">
            <v>6785.600953603157</v>
          </cell>
          <cell r="J13">
            <v>6600</v>
          </cell>
        </row>
        <row r="14">
          <cell r="A14" t="str">
            <v>ETH_01_19</v>
          </cell>
          <cell r="H14">
            <v>9719.7149399999998</v>
          </cell>
          <cell r="J14">
            <v>5873</v>
          </cell>
        </row>
        <row r="15">
          <cell r="A15" t="str">
            <v>ETH_01_25lm</v>
          </cell>
          <cell r="H15">
            <v>13007.68601007263</v>
          </cell>
          <cell r="J15">
            <v>7139</v>
          </cell>
        </row>
        <row r="16">
          <cell r="A16" t="str">
            <v>ETH_01_23dl</v>
          </cell>
          <cell r="H16">
            <v>4917.8411863980346</v>
          </cell>
          <cell r="J16">
            <v>2680</v>
          </cell>
        </row>
        <row r="17">
          <cell r="A17" t="str">
            <v>ETH_01_20</v>
          </cell>
          <cell r="H17">
            <v>8580.2692652826208</v>
          </cell>
          <cell r="J17">
            <v>6870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C418-A907-4A73-BDFA-89A0C47195BE}">
  <dimension ref="A1:I17"/>
  <sheetViews>
    <sheetView tabSelected="1" workbookViewId="0">
      <selection activeCell="C20" sqref="C20"/>
    </sheetView>
  </sheetViews>
  <sheetFormatPr defaultRowHeight="14.4" x14ac:dyDescent="0.3"/>
  <cols>
    <col min="1" max="1" width="18.88671875" customWidth="1"/>
    <col min="2" max="2" width="14.88671875" customWidth="1"/>
    <col min="3" max="3" width="26.21875" customWidth="1"/>
    <col min="4" max="4" width="16.21875" customWidth="1"/>
    <col min="5" max="5" width="14.6640625" customWidth="1"/>
    <col min="7" max="9" width="14.21875" customWidth="1"/>
  </cols>
  <sheetData>
    <row r="1" spans="1:9" ht="28.8" x14ac:dyDescent="0.3">
      <c r="A1" s="1" t="s">
        <v>22</v>
      </c>
      <c r="B1" s="10" t="s">
        <v>23</v>
      </c>
      <c r="C1" s="2" t="s">
        <v>0</v>
      </c>
      <c r="D1" s="2" t="s">
        <v>1</v>
      </c>
      <c r="E1" s="2" t="s">
        <v>2</v>
      </c>
      <c r="G1" s="2" t="s">
        <v>3</v>
      </c>
      <c r="H1" s="2" t="s">
        <v>4</v>
      </c>
      <c r="I1" s="2" t="s">
        <v>5</v>
      </c>
    </row>
    <row r="2" spans="1:9" ht="15.6" x14ac:dyDescent="0.3">
      <c r="A2" s="3" t="s">
        <v>6</v>
      </c>
      <c r="B2" s="12" t="str">
        <f>[1]CountrySubNatData!A4</f>
        <v>ETH_01_10</v>
      </c>
      <c r="C2" s="4">
        <f>[1]CountrySubNatData!J4</f>
        <v>7356</v>
      </c>
      <c r="D2" s="5">
        <f>C2/$C$16</f>
        <v>6.7155390416023808E-2</v>
      </c>
      <c r="E2" s="4">
        <f>D2*$E$17</f>
        <v>9097.1378073162487</v>
      </c>
      <c r="G2" s="4">
        <f>[1]CountrySubNatData!H4</f>
        <v>5750.6067035772194</v>
      </c>
      <c r="H2" s="5">
        <f>G2/$G$16</f>
        <v>3.6348298999757583E-2</v>
      </c>
      <c r="I2" s="4">
        <f>H2*$I$17</f>
        <v>6833.4802119544256</v>
      </c>
    </row>
    <row r="3" spans="1:9" ht="15.6" x14ac:dyDescent="0.3">
      <c r="A3" s="3" t="s">
        <v>7</v>
      </c>
      <c r="B3" s="12" t="str">
        <f>[1]CountrySubNatData!A5</f>
        <v>ETH_01_11</v>
      </c>
      <c r="C3" s="4">
        <f>[1]CountrySubNatData!J5</f>
        <v>2695</v>
      </c>
      <c r="D3" s="5">
        <f>C3/$C$16</f>
        <v>2.4603558614897249E-2</v>
      </c>
      <c r="E3" s="4">
        <f t="shared" ref="E3:E15" si="0">D3*$E$17</f>
        <v>3332.8964642084411</v>
      </c>
      <c r="G3" s="4">
        <f>[1]CountrySubNatData!H5</f>
        <v>3031.5556800000004</v>
      </c>
      <c r="H3" s="5">
        <f t="shared" ref="H3:H15" si="1">G3/$G$16</f>
        <v>1.9161785524735592E-2</v>
      </c>
      <c r="I3" s="4">
        <f t="shared" ref="I3:I15" si="2">H3*$I$17</f>
        <v>3602.4156786502913</v>
      </c>
    </row>
    <row r="4" spans="1:9" ht="15.6" x14ac:dyDescent="0.3">
      <c r="A4" s="3" t="s">
        <v>8</v>
      </c>
      <c r="B4" s="12" t="str">
        <f>[1]CountrySubNatData!A6</f>
        <v>ETH_01_12</v>
      </c>
      <c r="C4" s="4">
        <f>[1]CountrySubNatData!J6</f>
        <v>19936</v>
      </c>
      <c r="D4" s="5">
        <f>C4/$C$16</f>
        <v>0.18200242840318798</v>
      </c>
      <c r="E4" s="4">
        <f t="shared" si="0"/>
        <v>24654.776961209456</v>
      </c>
      <c r="G4" s="4">
        <f>[1]CountrySubNatData!H6</f>
        <v>33907.659018006932</v>
      </c>
      <c r="H4" s="5">
        <f t="shared" si="1"/>
        <v>0.21432273008718594</v>
      </c>
      <c r="I4" s="4">
        <f t="shared" si="2"/>
        <v>40292.673256390954</v>
      </c>
    </row>
    <row r="5" spans="1:9" ht="15.6" x14ac:dyDescent="0.3">
      <c r="A5" s="3" t="s">
        <v>9</v>
      </c>
      <c r="B5" s="12" t="str">
        <f>[1]CountrySubNatData!A7</f>
        <v>ETH_01_13</v>
      </c>
      <c r="C5" s="4">
        <f>[1]CountrySubNatData!J7</f>
        <v>795</v>
      </c>
      <c r="D5" s="5">
        <f>C5/$C$16</f>
        <v>7.2578215580123614E-3</v>
      </c>
      <c r="E5" s="4">
        <f t="shared" si="0"/>
        <v>983.17353953458655</v>
      </c>
      <c r="G5" s="4">
        <f>[1]CountrySubNatData!H7</f>
        <v>1806.5543600000001</v>
      </c>
      <c r="H5" s="5">
        <f t="shared" si="1"/>
        <v>1.1418826120685328E-2</v>
      </c>
      <c r="I5" s="4">
        <f t="shared" si="2"/>
        <v>2146.7393106888417</v>
      </c>
    </row>
    <row r="6" spans="1:9" ht="15.6" x14ac:dyDescent="0.3">
      <c r="A6" s="3" t="s">
        <v>10</v>
      </c>
      <c r="B6" s="12" t="str">
        <f>[1]CountrySubNatData!A8</f>
        <v>ETH_01_24gf</v>
      </c>
      <c r="C6" s="4">
        <f>[1]CountrySubNatData!J8</f>
        <v>4934</v>
      </c>
      <c r="D6" s="5">
        <f>C6/$C$16</f>
        <v>4.5044140336142124E-2</v>
      </c>
      <c r="E6" s="4">
        <f t="shared" si="0"/>
        <v>6101.8594264951571</v>
      </c>
      <c r="G6" s="4">
        <f>[1]CountrySubNatData!H8</f>
        <v>9017.9230971607285</v>
      </c>
      <c r="H6" s="5">
        <f t="shared" si="1"/>
        <v>5.7000275273305617E-2</v>
      </c>
      <c r="I6" s="4">
        <f t="shared" si="2"/>
        <v>10716.051751381456</v>
      </c>
    </row>
    <row r="7" spans="1:9" ht="15.6" x14ac:dyDescent="0.3">
      <c r="A7" s="3" t="s">
        <v>11</v>
      </c>
      <c r="B7" s="12" t="str">
        <f>[1]CountrySubNatData!A9</f>
        <v>ETH_01_14</v>
      </c>
      <c r="C7" s="4">
        <f>[1]CountrySubNatData!J9</f>
        <v>1225</v>
      </c>
      <c r="D7" s="5">
        <f>C7/$C$16</f>
        <v>1.1183435734044204E-2</v>
      </c>
      <c r="E7" s="4">
        <f t="shared" si="0"/>
        <v>1514.9529382765641</v>
      </c>
      <c r="G7" s="4">
        <f>[1]CountrySubNatData!H9</f>
        <v>803.93732</v>
      </c>
      <c r="H7" s="5">
        <f t="shared" si="1"/>
        <v>5.0815080200574524E-3</v>
      </c>
      <c r="I7" s="4">
        <f t="shared" si="2"/>
        <v>955.32350777080103</v>
      </c>
    </row>
    <row r="8" spans="1:9" ht="15.6" x14ac:dyDescent="0.3">
      <c r="A8" s="3" t="s">
        <v>12</v>
      </c>
      <c r="B8" s="12" t="str">
        <f>[1]CountrySubNatData!A10</f>
        <v>ETH_01_15</v>
      </c>
      <c r="C8" s="4">
        <f>[1]CountrySubNatData!J10</f>
        <v>1056</v>
      </c>
      <c r="D8" s="5">
        <f>C8/$C$16</f>
        <v>9.6405780695107586E-3</v>
      </c>
      <c r="E8" s="4">
        <f t="shared" si="0"/>
        <v>1305.9512676082054</v>
      </c>
      <c r="G8" s="4">
        <f>[1]CountrySubNatData!H10</f>
        <v>775.10222566100697</v>
      </c>
      <c r="H8" s="5">
        <f t="shared" si="1"/>
        <v>4.8992478369592153E-3</v>
      </c>
      <c r="I8" s="4">
        <f t="shared" si="2"/>
        <v>921.05859334833247</v>
      </c>
    </row>
    <row r="9" spans="1:9" ht="15.6" x14ac:dyDescent="0.3">
      <c r="A9" s="3" t="s">
        <v>13</v>
      </c>
      <c r="B9" s="12" t="str">
        <f>[1]CountrySubNatData!A11</f>
        <v>ETH_01_16</v>
      </c>
      <c r="C9" s="4">
        <f>[1]CountrySubNatData!J11</f>
        <v>479</v>
      </c>
      <c r="D9" s="5">
        <f>C9/$C$16</f>
        <v>4.372951605393611E-3</v>
      </c>
      <c r="E9" s="4">
        <f t="shared" si="0"/>
        <v>592.3775162730401</v>
      </c>
      <c r="G9" s="4">
        <f>[1]CountrySubNatData!H11</f>
        <v>412.958798621531</v>
      </c>
      <c r="H9" s="5">
        <f t="shared" si="1"/>
        <v>2.6102202185968931E-3</v>
      </c>
      <c r="I9" s="4">
        <f t="shared" si="2"/>
        <v>490.72140109621591</v>
      </c>
    </row>
    <row r="10" spans="1:9" ht="15.6" x14ac:dyDescent="0.3">
      <c r="A10" s="3" t="s">
        <v>14</v>
      </c>
      <c r="B10" s="12" t="str">
        <f>[1]CountrySubNatData!A12</f>
        <v>ETH_01_17</v>
      </c>
      <c r="C10" s="4">
        <f>[1]CountrySubNatData!J12</f>
        <v>41899</v>
      </c>
      <c r="D10" s="5">
        <f>C10/$C$16</f>
        <v>0.38251001944548418</v>
      </c>
      <c r="E10" s="4">
        <f t="shared" si="0"/>
        <v>51816.337274163066</v>
      </c>
      <c r="G10" s="4">
        <f>[1]CountrySubNatData!H12</f>
        <v>59691.003539999998</v>
      </c>
      <c r="H10" s="5">
        <f t="shared" si="1"/>
        <v>0.37729348503660431</v>
      </c>
      <c r="I10" s="4">
        <f t="shared" si="2"/>
        <v>70931.175186881606</v>
      </c>
    </row>
    <row r="11" spans="1:9" ht="15.6" x14ac:dyDescent="0.3">
      <c r="A11" s="3" t="s">
        <v>15</v>
      </c>
      <c r="B11" s="12" t="str">
        <f>[1]CountrySubNatData!A13</f>
        <v>ETH_01_21xz</v>
      </c>
      <c r="C11" s="4">
        <f>[1]CountrySubNatData!J13</f>
        <v>6600</v>
      </c>
      <c r="D11" s="5">
        <f>C11/$C$16</f>
        <v>6.0253612934442244E-2</v>
      </c>
      <c r="E11" s="4">
        <f t="shared" si="0"/>
        <v>8162.1954225512845</v>
      </c>
      <c r="G11" s="4">
        <f>[1]CountrySubNatData!H13</f>
        <v>6785.600953603157</v>
      </c>
      <c r="H11" s="5">
        <f t="shared" si="1"/>
        <v>4.2890266204638865E-2</v>
      </c>
      <c r="I11" s="4">
        <f t="shared" si="2"/>
        <v>8063.3700464721069</v>
      </c>
    </row>
    <row r="12" spans="1:9" ht="15.6" x14ac:dyDescent="0.3">
      <c r="A12" s="3" t="s">
        <v>16</v>
      </c>
      <c r="B12" s="12" t="str">
        <f>[1]CountrySubNatData!A14</f>
        <v>ETH_01_19</v>
      </c>
      <c r="C12" s="4">
        <f>[1]CountrySubNatData!J14</f>
        <v>5873</v>
      </c>
      <c r="D12" s="5">
        <f>C12/$C$16</f>
        <v>5.3616586176360496E-2</v>
      </c>
      <c r="E12" s="4">
        <f t="shared" si="0"/>
        <v>7263.1172297944986</v>
      </c>
      <c r="G12" s="4">
        <f>[1]CountrySubNatData!H14</f>
        <v>9719.7149399999998</v>
      </c>
      <c r="H12" s="5">
        <f t="shared" si="1"/>
        <v>6.1436144574408165E-2</v>
      </c>
      <c r="I12" s="4">
        <f t="shared" si="2"/>
        <v>11549.995179988735</v>
      </c>
    </row>
    <row r="13" spans="1:9" ht="15.6" x14ac:dyDescent="0.3">
      <c r="A13" s="3" t="s">
        <v>17</v>
      </c>
      <c r="B13" s="12" t="str">
        <f>[1]CountrySubNatData!A15</f>
        <v>ETH_01_25lm</v>
      </c>
      <c r="C13" s="4">
        <f>[1]CountrySubNatData!J15</f>
        <v>7139</v>
      </c>
      <c r="D13" s="5">
        <f>C13/$C$16</f>
        <v>6.5174324657421692E-2</v>
      </c>
      <c r="E13" s="4">
        <f t="shared" si="0"/>
        <v>8828.7747153929722</v>
      </c>
      <c r="G13" s="4">
        <f>[1]CountrySubNatData!H15</f>
        <v>13007.68601007263</v>
      </c>
      <c r="H13" s="5">
        <f t="shared" si="1"/>
        <v>8.2218674439162989E-2</v>
      </c>
      <c r="I13" s="4">
        <f t="shared" si="2"/>
        <v>15457.110794562643</v>
      </c>
    </row>
    <row r="14" spans="1:9" ht="15.6" x14ac:dyDescent="0.3">
      <c r="A14" s="3" t="s">
        <v>18</v>
      </c>
      <c r="B14" s="12" t="str">
        <f>[1]CountrySubNatData!A16</f>
        <v>ETH_01_23dl</v>
      </c>
      <c r="C14" s="4">
        <f>[1]CountrySubNatData!J16</f>
        <v>2680</v>
      </c>
      <c r="D14" s="5">
        <f>C14/$C$16</f>
        <v>2.4466618585500789E-2</v>
      </c>
      <c r="E14" s="4">
        <f t="shared" si="0"/>
        <v>3314.3460200662789</v>
      </c>
      <c r="G14" s="4">
        <f>[1]CountrySubNatData!H16</f>
        <v>4917.8411863980346</v>
      </c>
      <c r="H14" s="5">
        <f t="shared" si="1"/>
        <v>3.1084574392006667E-2</v>
      </c>
      <c r="I14" s="4">
        <f t="shared" si="2"/>
        <v>5843.8999856972532</v>
      </c>
    </row>
    <row r="15" spans="1:9" ht="15.6" x14ac:dyDescent="0.3">
      <c r="A15" s="6" t="s">
        <v>19</v>
      </c>
      <c r="B15" s="12" t="str">
        <f>[1]CountrySubNatData!A17</f>
        <v>ETH_01_20</v>
      </c>
      <c r="C15" s="4">
        <f>[1]CountrySubNatData!J17</f>
        <v>6870</v>
      </c>
      <c r="D15" s="5">
        <f>C15/$C$16</f>
        <v>6.2718533463578516E-2</v>
      </c>
      <c r="E15" s="4">
        <f t="shared" si="0"/>
        <v>8496.1034171102001</v>
      </c>
      <c r="G15" s="4">
        <f>[1]CountrySubNatData!H17</f>
        <v>8580.2692652826208</v>
      </c>
      <c r="H15" s="5">
        <f t="shared" si="1"/>
        <v>5.4233963271895502E-2</v>
      </c>
      <c r="I15" s="4">
        <f t="shared" si="2"/>
        <v>10195.985095116355</v>
      </c>
    </row>
    <row r="16" spans="1:9" x14ac:dyDescent="0.3">
      <c r="A16" s="7" t="s">
        <v>20</v>
      </c>
      <c r="B16" s="11"/>
      <c r="C16" s="8">
        <f>SUM(C2:C15)</f>
        <v>109537</v>
      </c>
      <c r="D16" s="9">
        <f>C16/$C$16</f>
        <v>1</v>
      </c>
      <c r="E16" s="8">
        <f>SUM(E2:E15)</f>
        <v>135464</v>
      </c>
      <c r="G16" s="8">
        <f>SUM(G2:G15)</f>
        <v>158208.41309838384</v>
      </c>
      <c r="H16" s="9">
        <f>G16/$G$16</f>
        <v>1</v>
      </c>
      <c r="I16" s="8">
        <f>SUM(I2:I15)</f>
        <v>188000.00000000006</v>
      </c>
    </row>
    <row r="17" spans="4:9" x14ac:dyDescent="0.3">
      <c r="D17" t="s">
        <v>21</v>
      </c>
      <c r="E17">
        <v>135464</v>
      </c>
      <c r="H17" t="s">
        <v>21</v>
      </c>
      <c r="I17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TB_IHT_SubNatData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Carel Pretorius</dc:creator>
  <cp:lastModifiedBy>Carel Pretorius</cp:lastModifiedBy>
  <dcterms:created xsi:type="dcterms:W3CDTF">2025-09-08T15:47:52Z</dcterms:created>
  <dcterms:modified xsi:type="dcterms:W3CDTF">2025-09-08T16:02:14Z</dcterms:modified>
</cp:coreProperties>
</file>